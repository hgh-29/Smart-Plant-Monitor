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M PCB" sheetId="1" r:id="rId4"/>
    <sheet state="visible" name="BOM Works-Like Prototype" sheetId="2" r:id="rId5"/>
  </sheets>
  <definedNames/>
  <calcPr/>
</workbook>
</file>

<file path=xl/sharedStrings.xml><?xml version="1.0" encoding="utf-8"?>
<sst xmlns="http://schemas.openxmlformats.org/spreadsheetml/2006/main" count="89" uniqueCount="76">
  <si>
    <t>Bill of Materials</t>
  </si>
  <si>
    <t>Id</t>
  </si>
  <si>
    <t>Designator</t>
  </si>
  <si>
    <t>Footprint</t>
  </si>
  <si>
    <t>Quantity</t>
  </si>
  <si>
    <t>Designation</t>
  </si>
  <si>
    <t>Price Total (Dollars)</t>
  </si>
  <si>
    <t>SW1</t>
  </si>
  <si>
    <t>SW_DIP_SPSTx01_Slide_Copal_CHS-01A_W5.08mm_P1.27mm_JPin</t>
  </si>
  <si>
    <t>SW_DPST_x2</t>
  </si>
  <si>
    <t>R8,R7</t>
  </si>
  <si>
    <t>R_Axial_DIN0207_L6.3mm_D2.5mm_P10.16mm_Horizontal</t>
  </si>
  <si>
    <t>5.1k</t>
  </si>
  <si>
    <t>J5</t>
  </si>
  <si>
    <t>USB_C_Receptacle_GCT_USB4085</t>
  </si>
  <si>
    <t>USB_C_Receptacle_PowerOnly_24P</t>
  </si>
  <si>
    <t>D1</t>
  </si>
  <si>
    <t>LED_RGB_5050-6</t>
  </si>
  <si>
    <t>LED_RGBA</t>
  </si>
  <si>
    <t>J2</t>
  </si>
  <si>
    <t>Tag-Connect_TC2030-IDC-FP_2x03_P1.27mm_Vertical</t>
  </si>
  <si>
    <t>AVR-ISP-6</t>
  </si>
  <si>
    <t>U2</t>
  </si>
  <si>
    <t>LCD-016N002L</t>
  </si>
  <si>
    <t>J4</t>
  </si>
  <si>
    <t>PinSocket_1x03_P2.54mm_Horizontal</t>
  </si>
  <si>
    <t>Soil Moisture Sensor</t>
  </si>
  <si>
    <t>U1</t>
  </si>
  <si>
    <t>Aosong_DHT11_5.5x12.0_P2.54mm</t>
  </si>
  <si>
    <t>DHT11</t>
  </si>
  <si>
    <t>R3,R5,R4</t>
  </si>
  <si>
    <t>R_Axial_DIN0309_L9.0mm_D3.2mm_P12.70mm_Horizontal</t>
  </si>
  <si>
    <t>C2,C1,C7,C8</t>
  </si>
  <si>
    <t>CP_Elec_3x5.3</t>
  </si>
  <si>
    <t>0.1u</t>
  </si>
  <si>
    <t>C9,C10</t>
  </si>
  <si>
    <t>22pF</t>
  </si>
  <si>
    <t>Y2</t>
  </si>
  <si>
    <t>Crystal_AT310_D3.0mm_L10.0mm_Horizontal</t>
  </si>
  <si>
    <t>Crystal</t>
  </si>
  <si>
    <t>SW2,SW3</t>
  </si>
  <si>
    <t>SW_PUSH-12mm_Wuerth-430476085716</t>
  </si>
  <si>
    <t>SW_Push</t>
  </si>
  <si>
    <t>U3</t>
  </si>
  <si>
    <t>TQFP-100_14x14mm_P0.5mm</t>
  </si>
  <si>
    <t>ATmega2560-16A</t>
  </si>
  <si>
    <t>J3</t>
  </si>
  <si>
    <t>PinSocket_1x06_P1.00mm_Vertical_SMD_Pin1Right</t>
  </si>
  <si>
    <t>Serial</t>
  </si>
  <si>
    <t>R2</t>
  </si>
  <si>
    <t>10k</t>
  </si>
  <si>
    <t>C6</t>
  </si>
  <si>
    <t>4.7u</t>
  </si>
  <si>
    <t>J1</t>
  </si>
  <si>
    <t>PinHeader_1x08_P1.00mm_Vertical</t>
  </si>
  <si>
    <t>Key Membrane Switch</t>
  </si>
  <si>
    <t>R6</t>
  </si>
  <si>
    <t>RV1</t>
  </si>
  <si>
    <t>Potentiometer_Bourns_3266P_Horizontal</t>
  </si>
  <si>
    <t>10k Pot</t>
  </si>
  <si>
    <t>R1</t>
  </si>
  <si>
    <t>R_Photo</t>
  </si>
  <si>
    <t>Capacitive Soil Moisture Sensor Module</t>
  </si>
  <si>
    <t>Battery Bank</t>
  </si>
  <si>
    <t>4×4 Keypad</t>
  </si>
  <si>
    <t>Total Cost:</t>
  </si>
  <si>
    <t>Arduino Mega 2560</t>
  </si>
  <si>
    <t>Photoresistor</t>
  </si>
  <si>
    <t>10k ohm resistor</t>
  </si>
  <si>
    <t>Breadboard + jumper wires</t>
  </si>
  <si>
    <t>9 V Battery</t>
  </si>
  <si>
    <t>RGB LED</t>
  </si>
  <si>
    <t>220 ohm resistor</t>
  </si>
  <si>
    <t>16x2 LCD Display</t>
  </si>
  <si>
    <t>Potentiometer</t>
  </si>
  <si>
    <t>Reset Button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</si>
</sst>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/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</fills>
  <borders count="17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readingOrder="0"/>
    </xf>
    <xf borderId="5" fillId="2" fontId="1" numFmtId="0" xfId="0" applyAlignment="1" applyBorder="1" applyFont="1">
      <alignment horizontal="center" readingOrder="0"/>
    </xf>
    <xf borderId="6" fillId="2" fontId="1" numFmtId="0" xfId="0" applyAlignment="1" applyBorder="1" applyFont="1">
      <alignment horizontal="center" readingOrder="0"/>
    </xf>
    <xf borderId="7" fillId="0" fontId="1" numFmtId="0" xfId="0" applyAlignment="1" applyBorder="1" applyFont="1">
      <alignment readingOrder="0"/>
    </xf>
    <xf borderId="8" fillId="0" fontId="1" numFmtId="0" xfId="0" applyAlignment="1" applyBorder="1" applyFont="1">
      <alignment readingOrder="0"/>
    </xf>
    <xf borderId="9" fillId="0" fontId="1" numFmtId="2" xfId="0" applyAlignment="1" applyBorder="1" applyFont="1" applyNumberFormat="1">
      <alignment readingOrder="0"/>
    </xf>
    <xf borderId="10" fillId="0" fontId="1" numFmtId="0" xfId="0" applyAlignment="1" applyBorder="1" applyFont="1">
      <alignment readingOrder="0"/>
    </xf>
    <xf borderId="11" fillId="0" fontId="1" numFmtId="0" xfId="0" applyAlignment="1" applyBorder="1" applyFont="1">
      <alignment readingOrder="0"/>
    </xf>
    <xf borderId="12" fillId="0" fontId="1" numFmtId="2" xfId="0" applyAlignment="1" applyBorder="1" applyFont="1" applyNumberFormat="1">
      <alignment readingOrder="0"/>
    </xf>
    <xf borderId="13" fillId="3" fontId="1" numFmtId="0" xfId="0" applyAlignment="1" applyBorder="1" applyFill="1" applyFont="1">
      <alignment readingOrder="0"/>
    </xf>
    <xf borderId="14" fillId="0" fontId="2" numFmtId="0" xfId="0" applyBorder="1" applyFont="1"/>
    <xf borderId="15" fillId="0" fontId="2" numFmtId="0" xfId="0" applyBorder="1" applyFont="1"/>
    <xf borderId="16" fillId="3" fontId="1" numFmtId="2" xfId="0" applyBorder="1" applyFont="1" applyNumberFormat="1"/>
    <xf borderId="0" fillId="0" fontId="1" numFmtId="0" xfId="0" applyAlignment="1" applyFont="1">
      <alignment readingOrder="0"/>
    </xf>
    <xf borderId="0" fillId="0" fontId="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88"/>
    <col customWidth="1" min="2" max="2" width="10.88"/>
    <col customWidth="1" min="3" max="3" width="54.0"/>
    <col customWidth="1" min="4" max="4" width="7.25"/>
    <col customWidth="1" min="5" max="5" width="30.5"/>
    <col customWidth="1" min="6" max="6" width="15.5"/>
  </cols>
  <sheetData>
    <row r="1">
      <c r="A1" s="1" t="s">
        <v>0</v>
      </c>
      <c r="B1" s="2"/>
      <c r="C1" s="2"/>
      <c r="D1" s="2"/>
      <c r="E1" s="2"/>
      <c r="F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</row>
    <row r="3">
      <c r="A3" s="7">
        <v>1.0</v>
      </c>
      <c r="B3" s="8" t="s">
        <v>7</v>
      </c>
      <c r="C3" s="8" t="s">
        <v>8</v>
      </c>
      <c r="D3" s="8">
        <v>1.0</v>
      </c>
      <c r="E3" s="8" t="s">
        <v>9</v>
      </c>
      <c r="F3" s="9">
        <v>1.25</v>
      </c>
    </row>
    <row r="4">
      <c r="A4" s="7">
        <v>2.0</v>
      </c>
      <c r="B4" s="8" t="s">
        <v>10</v>
      </c>
      <c r="C4" s="8" t="s">
        <v>11</v>
      </c>
      <c r="D4" s="8">
        <v>2.0</v>
      </c>
      <c r="E4" s="8" t="s">
        <v>12</v>
      </c>
      <c r="F4" s="9">
        <v>0.1</v>
      </c>
    </row>
    <row r="5">
      <c r="A5" s="7">
        <v>3.0</v>
      </c>
      <c r="B5" s="8" t="s">
        <v>13</v>
      </c>
      <c r="C5" s="8" t="s">
        <v>14</v>
      </c>
      <c r="D5" s="8">
        <v>1.0</v>
      </c>
      <c r="E5" s="8" t="s">
        <v>15</v>
      </c>
      <c r="F5" s="9">
        <v>3.0</v>
      </c>
    </row>
    <row r="6">
      <c r="A6" s="7">
        <v>4.0</v>
      </c>
      <c r="B6" s="8" t="s">
        <v>16</v>
      </c>
      <c r="C6" s="8" t="s">
        <v>17</v>
      </c>
      <c r="D6" s="8">
        <v>1.0</v>
      </c>
      <c r="E6" s="8" t="s">
        <v>18</v>
      </c>
      <c r="F6" s="9">
        <v>1.5</v>
      </c>
    </row>
    <row r="7">
      <c r="A7" s="7">
        <v>5.0</v>
      </c>
      <c r="B7" s="8" t="s">
        <v>19</v>
      </c>
      <c r="C7" s="8" t="s">
        <v>20</v>
      </c>
      <c r="D7" s="8">
        <v>1.0</v>
      </c>
      <c r="E7" s="8" t="s">
        <v>21</v>
      </c>
      <c r="F7" s="9">
        <v>4.5</v>
      </c>
    </row>
    <row r="8">
      <c r="A8" s="7">
        <v>6.0</v>
      </c>
      <c r="B8" s="8" t="s">
        <v>22</v>
      </c>
      <c r="C8" s="8" t="s">
        <v>23</v>
      </c>
      <c r="D8" s="8">
        <v>1.0</v>
      </c>
      <c r="E8" s="8" t="s">
        <v>23</v>
      </c>
      <c r="F8" s="9">
        <v>4.99</v>
      </c>
    </row>
    <row r="9">
      <c r="A9" s="7">
        <v>7.0</v>
      </c>
      <c r="B9" s="8" t="s">
        <v>24</v>
      </c>
      <c r="C9" s="8" t="s">
        <v>25</v>
      </c>
      <c r="D9" s="8">
        <v>1.0</v>
      </c>
      <c r="E9" s="8" t="s">
        <v>26</v>
      </c>
      <c r="F9" s="9">
        <v>0.5</v>
      </c>
    </row>
    <row r="10">
      <c r="A10" s="7">
        <v>8.0</v>
      </c>
      <c r="B10" s="8" t="s">
        <v>27</v>
      </c>
      <c r="C10" s="8" t="s">
        <v>28</v>
      </c>
      <c r="D10" s="8">
        <v>1.0</v>
      </c>
      <c r="E10" s="8" t="s">
        <v>29</v>
      </c>
      <c r="F10" s="9">
        <v>2.0</v>
      </c>
    </row>
    <row r="11">
      <c r="A11" s="7">
        <v>9.0</v>
      </c>
      <c r="B11" s="8" t="s">
        <v>30</v>
      </c>
      <c r="C11" s="8" t="s">
        <v>31</v>
      </c>
      <c r="D11" s="8">
        <v>3.0</v>
      </c>
      <c r="E11" s="8">
        <v>220.0</v>
      </c>
      <c r="F11" s="9">
        <v>0.15</v>
      </c>
    </row>
    <row r="12">
      <c r="A12" s="7">
        <v>10.0</v>
      </c>
      <c r="B12" s="8" t="s">
        <v>32</v>
      </c>
      <c r="C12" s="8" t="s">
        <v>33</v>
      </c>
      <c r="D12" s="8">
        <v>4.0</v>
      </c>
      <c r="E12" s="8" t="s">
        <v>34</v>
      </c>
      <c r="F12" s="9">
        <v>0.4</v>
      </c>
    </row>
    <row r="13">
      <c r="A13" s="7">
        <v>11.0</v>
      </c>
      <c r="B13" s="8" t="s">
        <v>35</v>
      </c>
      <c r="C13" s="8" t="s">
        <v>33</v>
      </c>
      <c r="D13" s="8">
        <v>2.0</v>
      </c>
      <c r="E13" s="8" t="s">
        <v>36</v>
      </c>
      <c r="F13" s="9">
        <v>0.1</v>
      </c>
    </row>
    <row r="14">
      <c r="A14" s="7">
        <v>12.0</v>
      </c>
      <c r="B14" s="8" t="s">
        <v>37</v>
      </c>
      <c r="C14" s="8" t="s">
        <v>38</v>
      </c>
      <c r="D14" s="8">
        <v>1.0</v>
      </c>
      <c r="E14" s="8" t="s">
        <v>39</v>
      </c>
      <c r="F14" s="9">
        <v>0.5</v>
      </c>
    </row>
    <row r="15">
      <c r="A15" s="7">
        <v>13.0</v>
      </c>
      <c r="B15" s="8" t="s">
        <v>40</v>
      </c>
      <c r="C15" s="8" t="s">
        <v>41</v>
      </c>
      <c r="D15" s="8">
        <v>2.0</v>
      </c>
      <c r="E15" s="8" t="s">
        <v>42</v>
      </c>
      <c r="F15" s="9">
        <v>0.4</v>
      </c>
    </row>
    <row r="16">
      <c r="A16" s="7">
        <v>14.0</v>
      </c>
      <c r="B16" s="8" t="s">
        <v>43</v>
      </c>
      <c r="C16" s="8" t="s">
        <v>44</v>
      </c>
      <c r="D16" s="8">
        <v>1.0</v>
      </c>
      <c r="E16" s="8" t="s">
        <v>45</v>
      </c>
      <c r="F16" s="9">
        <v>15.0</v>
      </c>
    </row>
    <row r="17">
      <c r="A17" s="7">
        <v>15.0</v>
      </c>
      <c r="B17" s="8" t="s">
        <v>46</v>
      </c>
      <c r="C17" s="8" t="s">
        <v>47</v>
      </c>
      <c r="D17" s="8">
        <v>1.0</v>
      </c>
      <c r="E17" s="8" t="s">
        <v>48</v>
      </c>
      <c r="F17" s="9">
        <v>0.5</v>
      </c>
    </row>
    <row r="18">
      <c r="A18" s="7">
        <v>16.0</v>
      </c>
      <c r="B18" s="8" t="s">
        <v>49</v>
      </c>
      <c r="C18" s="8" t="s">
        <v>31</v>
      </c>
      <c r="D18" s="8">
        <v>1.0</v>
      </c>
      <c r="E18" s="8" t="s">
        <v>50</v>
      </c>
      <c r="F18" s="9">
        <v>0.05</v>
      </c>
    </row>
    <row r="19">
      <c r="A19" s="7">
        <v>17.0</v>
      </c>
      <c r="B19" s="8" t="s">
        <v>51</v>
      </c>
      <c r="C19" s="8" t="s">
        <v>33</v>
      </c>
      <c r="D19" s="8">
        <v>1.0</v>
      </c>
      <c r="E19" s="8" t="s">
        <v>52</v>
      </c>
      <c r="F19" s="9">
        <v>0.2</v>
      </c>
    </row>
    <row r="20">
      <c r="A20" s="7">
        <v>18.0</v>
      </c>
      <c r="B20" s="8" t="s">
        <v>53</v>
      </c>
      <c r="C20" s="8" t="s">
        <v>54</v>
      </c>
      <c r="D20" s="8">
        <v>1.0</v>
      </c>
      <c r="E20" s="8" t="s">
        <v>55</v>
      </c>
      <c r="F20" s="9">
        <v>0.5</v>
      </c>
    </row>
    <row r="21">
      <c r="A21" s="7">
        <v>19.0</v>
      </c>
      <c r="B21" s="8" t="s">
        <v>56</v>
      </c>
      <c r="C21" s="8" t="s">
        <v>11</v>
      </c>
      <c r="D21" s="8">
        <v>1.0</v>
      </c>
      <c r="E21" s="8">
        <v>22.0</v>
      </c>
      <c r="F21" s="9">
        <v>0.05</v>
      </c>
    </row>
    <row r="22">
      <c r="A22" s="7">
        <v>20.0</v>
      </c>
      <c r="B22" s="8" t="s">
        <v>57</v>
      </c>
      <c r="C22" s="8" t="s">
        <v>58</v>
      </c>
      <c r="D22" s="8">
        <v>1.0</v>
      </c>
      <c r="E22" s="8" t="s">
        <v>59</v>
      </c>
      <c r="F22" s="9">
        <v>1.5</v>
      </c>
    </row>
    <row r="23">
      <c r="A23" s="7">
        <v>21.0</v>
      </c>
      <c r="B23" s="8" t="s">
        <v>60</v>
      </c>
      <c r="C23" s="8" t="s">
        <v>31</v>
      </c>
      <c r="D23" s="8">
        <v>1.0</v>
      </c>
      <c r="E23" s="8" t="s">
        <v>61</v>
      </c>
      <c r="F23" s="9">
        <v>0.05</v>
      </c>
    </row>
    <row r="24">
      <c r="A24" s="10"/>
      <c r="B24" s="11"/>
      <c r="C24" s="11"/>
      <c r="D24" s="8">
        <v>1.0</v>
      </c>
      <c r="E24" s="11" t="s">
        <v>62</v>
      </c>
      <c r="F24" s="12">
        <v>5.0</v>
      </c>
    </row>
    <row r="25">
      <c r="A25" s="10"/>
      <c r="B25" s="11"/>
      <c r="C25" s="11"/>
      <c r="D25" s="8">
        <v>1.0</v>
      </c>
      <c r="E25" s="11" t="s">
        <v>63</v>
      </c>
      <c r="F25" s="12">
        <v>30.0</v>
      </c>
    </row>
    <row r="26">
      <c r="A26" s="10"/>
      <c r="B26" s="11"/>
      <c r="C26" s="11"/>
      <c r="D26" s="8">
        <v>1.0</v>
      </c>
      <c r="E26" s="11" t="s">
        <v>64</v>
      </c>
      <c r="F26" s="12">
        <v>4.0</v>
      </c>
    </row>
    <row r="27">
      <c r="A27" s="13" t="s">
        <v>65</v>
      </c>
      <c r="B27" s="14"/>
      <c r="C27" s="14"/>
      <c r="D27" s="14"/>
      <c r="E27" s="15"/>
      <c r="F27" s="16">
        <f>SUM(F3:F26)</f>
        <v>76.24</v>
      </c>
    </row>
  </sheetData>
  <mergeCells count="2">
    <mergeCell ref="A1:F1"/>
    <mergeCell ref="A27:E2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25"/>
    <col customWidth="1" min="2" max="2" width="30.5"/>
    <col customWidth="1" min="3" max="3" width="15.63"/>
  </cols>
  <sheetData>
    <row r="1">
      <c r="A1" s="1" t="s">
        <v>0</v>
      </c>
      <c r="B1" s="2"/>
      <c r="C1" s="3"/>
    </row>
    <row r="2">
      <c r="A2" s="5" t="s">
        <v>4</v>
      </c>
      <c r="B2" s="5" t="s">
        <v>5</v>
      </c>
      <c r="C2" s="6" t="s">
        <v>6</v>
      </c>
    </row>
    <row r="3">
      <c r="A3" s="8">
        <v>1.0</v>
      </c>
      <c r="B3" s="8" t="s">
        <v>66</v>
      </c>
      <c r="C3" s="9">
        <v>20.0</v>
      </c>
    </row>
    <row r="4">
      <c r="A4" s="8">
        <v>1.0</v>
      </c>
      <c r="B4" s="17" t="s">
        <v>62</v>
      </c>
      <c r="C4" s="9">
        <v>5.0</v>
      </c>
    </row>
    <row r="5">
      <c r="A5" s="8">
        <v>1.0</v>
      </c>
      <c r="B5" s="8" t="s">
        <v>67</v>
      </c>
      <c r="C5" s="9">
        <v>2.5</v>
      </c>
    </row>
    <row r="6">
      <c r="A6" s="8">
        <v>1.0</v>
      </c>
      <c r="B6" s="8" t="s">
        <v>68</v>
      </c>
      <c r="C6" s="9">
        <v>0.05</v>
      </c>
    </row>
    <row r="7">
      <c r="A7" s="8">
        <v>1.0</v>
      </c>
      <c r="B7" s="8" t="s">
        <v>69</v>
      </c>
      <c r="C7" s="9">
        <v>10.0</v>
      </c>
    </row>
    <row r="8">
      <c r="A8" s="8">
        <v>1.0</v>
      </c>
      <c r="B8" s="8" t="s">
        <v>70</v>
      </c>
      <c r="C8" s="9">
        <v>5.0</v>
      </c>
    </row>
    <row r="9">
      <c r="A9" s="8">
        <v>1.0</v>
      </c>
      <c r="B9" s="8" t="s">
        <v>71</v>
      </c>
      <c r="C9" s="9">
        <v>0.88</v>
      </c>
    </row>
    <row r="10">
      <c r="A10" s="8">
        <v>3.0</v>
      </c>
      <c r="B10" s="8" t="s">
        <v>72</v>
      </c>
      <c r="C10" s="9">
        <v>0.15</v>
      </c>
    </row>
    <row r="11">
      <c r="A11" s="8">
        <v>1.0</v>
      </c>
      <c r="B11" s="8" t="s">
        <v>73</v>
      </c>
      <c r="C11" s="9">
        <v>7.45</v>
      </c>
    </row>
    <row r="12">
      <c r="A12" s="8">
        <v>1.0</v>
      </c>
      <c r="B12" s="8" t="s">
        <v>74</v>
      </c>
      <c r="C12" s="9">
        <v>1.75</v>
      </c>
    </row>
    <row r="13">
      <c r="A13" s="8">
        <v>1.0</v>
      </c>
      <c r="B13" s="18" t="s">
        <v>64</v>
      </c>
      <c r="C13" s="9">
        <v>4.0</v>
      </c>
    </row>
    <row r="14">
      <c r="A14" s="8">
        <v>1.0</v>
      </c>
      <c r="B14" s="8" t="s">
        <v>75</v>
      </c>
      <c r="C14" s="9">
        <v>0.75</v>
      </c>
    </row>
    <row r="15">
      <c r="A15" s="13" t="s">
        <v>65</v>
      </c>
      <c r="B15" s="15"/>
      <c r="C15" s="16">
        <f>SUM(C3:C14)</f>
        <v>57.53</v>
      </c>
    </row>
  </sheetData>
  <mergeCells count="2">
    <mergeCell ref="A1:C1"/>
    <mergeCell ref="A15:B15"/>
  </mergeCells>
  <drawing r:id="rId1"/>
</worksheet>
</file>