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Budget_Table" sheetId="1" r:id="rId4"/>
  </sheets>
  <definedNames/>
  <calcPr/>
</workbook>
</file>

<file path=xl/sharedStrings.xml><?xml version="1.0" encoding="utf-8"?>
<sst xmlns="http://schemas.openxmlformats.org/spreadsheetml/2006/main" count="41" uniqueCount="37">
  <si>
    <t>Power Budget Table</t>
  </si>
  <si>
    <t>Runtime Calculation (Battery Bank)</t>
  </si>
  <si>
    <t>Component</t>
  </si>
  <si>
    <t>Voltage (V)</t>
  </si>
  <si>
    <t>Current (mA)</t>
  </si>
  <si>
    <t>Power (mW)</t>
  </si>
  <si>
    <t>Battery Capacity (mAh)</t>
  </si>
  <si>
    <t>ATmega2560</t>
  </si>
  <si>
    <t>Efficiency (3 different %)</t>
  </si>
  <si>
    <t>16 MHz Crystal</t>
  </si>
  <si>
    <t>Effective Current (mA)</t>
  </si>
  <si>
    <t>22 pF Capacitors</t>
  </si>
  <si>
    <t>Runtime (Hours)</t>
  </si>
  <si>
    <t>0.1 uF Decoupling Capacitors</t>
  </si>
  <si>
    <t>4.7 uF Electrolytic Capacitor</t>
  </si>
  <si>
    <t>Runtime Calculation (9V Battery)</t>
  </si>
  <si>
    <t>DHT11 Sensor</t>
  </si>
  <si>
    <t>Capacitive Soil Moisture Sensor</t>
  </si>
  <si>
    <t>Female 1x3 Header</t>
  </si>
  <si>
    <t>Photoresistor (LDR)</t>
  </si>
  <si>
    <t>10k Resistor (LDR divider)</t>
  </si>
  <si>
    <t>RGB LED (each color)</t>
  </si>
  <si>
    <t>Current-Limiting Resistors</t>
  </si>
  <si>
    <t>22 ohm Resistor (reset)</t>
  </si>
  <si>
    <t>5.1k Resistors (USB-C)</t>
  </si>
  <si>
    <t>16x2 LCD</t>
  </si>
  <si>
    <t>10k Potentiometer</t>
  </si>
  <si>
    <t>4x4 Keypad</t>
  </si>
  <si>
    <t>Male 1x8 Header</t>
  </si>
  <si>
    <t>Reset Buttons</t>
  </si>
  <si>
    <t>ISP 6 Programming Adapter</t>
  </si>
  <si>
    <t>Female 2x3 Header</t>
  </si>
  <si>
    <t>Female 1x6 Header</t>
  </si>
  <si>
    <t>USB Connector</t>
  </si>
  <si>
    <t>Slide Switch</t>
  </si>
  <si>
    <t>Total</t>
  </si>
  <si>
    <t xml:space="preserve">Notes for Runtime Calculations: 
Battery Capacity (mAh): The total charge the battery can store. 
Efficiency: Accounts for losses to output. Typical efficiency ranges from 80–90%.
Interpretation: Higher efficiency → lower effective current → longer runtime. Lower efficiency → higher losses → shorter runtime.  
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</si>
</sst>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5" fillId="0" fontId="1" numFmtId="2" xfId="0" applyBorder="1" applyFont="1" applyNumberFormat="1"/>
    <xf borderId="6" fillId="0" fontId="1" numFmtId="2" xfId="0" applyBorder="1" applyFont="1" applyNumberFormat="1"/>
    <xf borderId="7" fillId="2" fontId="1" numFmtId="0" xfId="0" applyAlignment="1" applyBorder="1" applyFont="1">
      <alignment readingOrder="0"/>
    </xf>
    <xf borderId="8" fillId="3" fontId="1" numFmtId="2" xfId="0" applyBorder="1" applyFill="1" applyFont="1" applyNumberFormat="1"/>
    <xf borderId="9" fillId="3" fontId="1" numFmtId="2" xfId="0" applyBorder="1" applyFont="1" applyNumberFormat="1"/>
    <xf borderId="7" fillId="3" fontId="1" numFmtId="0" xfId="0" applyAlignment="1" applyBorder="1" applyFont="1">
      <alignment readingOrder="0"/>
    </xf>
    <xf borderId="8" fillId="3" fontId="1" numFmtId="0" xfId="0" applyBorder="1" applyFont="1"/>
    <xf borderId="8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9.0"/>
  </cols>
  <sheetData>
    <row r="1">
      <c r="A1" s="1" t="s">
        <v>0</v>
      </c>
      <c r="B1" s="2"/>
      <c r="C1" s="2"/>
      <c r="D1" s="3"/>
      <c r="F1" s="1" t="s">
        <v>1</v>
      </c>
      <c r="G1" s="2"/>
      <c r="H1" s="2"/>
      <c r="I1" s="3"/>
    </row>
    <row r="2">
      <c r="A2" s="4" t="s">
        <v>2</v>
      </c>
      <c r="B2" s="5" t="s">
        <v>3</v>
      </c>
      <c r="C2" s="5" t="s">
        <v>4</v>
      </c>
      <c r="D2" s="6" t="s">
        <v>5</v>
      </c>
      <c r="F2" s="4" t="s">
        <v>6</v>
      </c>
      <c r="G2" s="7">
        <v>10000.0</v>
      </c>
      <c r="H2" s="8"/>
      <c r="I2" s="9"/>
    </row>
    <row r="3">
      <c r="A3" s="10" t="s">
        <v>7</v>
      </c>
      <c r="B3" s="7">
        <v>5.0</v>
      </c>
      <c r="C3" s="7">
        <v>40.0</v>
      </c>
      <c r="D3" s="11">
        <f t="shared" ref="D3:D26" si="1"> B3 * (C3)</f>
        <v>200</v>
      </c>
      <c r="F3" s="4" t="s">
        <v>8</v>
      </c>
      <c r="G3" s="7">
        <v>0.9</v>
      </c>
      <c r="H3" s="7">
        <v>0.85</v>
      </c>
      <c r="I3" s="11">
        <v>0.8</v>
      </c>
    </row>
    <row r="4">
      <c r="A4" s="10" t="s">
        <v>9</v>
      </c>
      <c r="B4" s="7">
        <v>5.0</v>
      </c>
      <c r="C4" s="7">
        <v>0.1</v>
      </c>
      <c r="D4" s="11">
        <f t="shared" si="1"/>
        <v>0.5</v>
      </c>
      <c r="F4" s="4" t="s">
        <v>10</v>
      </c>
      <c r="G4" s="12">
        <f>C27/G3</f>
        <v>97.47111111</v>
      </c>
      <c r="H4" s="12">
        <f>C27/H3</f>
        <v>103.2047059</v>
      </c>
      <c r="I4" s="13">
        <f>C27/I3</f>
        <v>109.655</v>
      </c>
    </row>
    <row r="5">
      <c r="A5" s="10" t="s">
        <v>11</v>
      </c>
      <c r="B5" s="7">
        <v>5.0</v>
      </c>
      <c r="C5" s="7">
        <v>0.001</v>
      </c>
      <c r="D5" s="11">
        <f t="shared" si="1"/>
        <v>0.005</v>
      </c>
      <c r="F5" s="14" t="s">
        <v>12</v>
      </c>
      <c r="G5" s="15">
        <f>G2/G4</f>
        <v>102.5945009</v>
      </c>
      <c r="H5" s="15">
        <f>G2/H4</f>
        <v>96.89480644</v>
      </c>
      <c r="I5" s="16">
        <f>G2/I4</f>
        <v>91.19511194</v>
      </c>
    </row>
    <row r="6">
      <c r="A6" s="10" t="s">
        <v>13</v>
      </c>
      <c r="B6" s="7">
        <v>5.0</v>
      </c>
      <c r="C6" s="7">
        <v>0.001</v>
      </c>
      <c r="D6" s="11">
        <f t="shared" si="1"/>
        <v>0.005</v>
      </c>
    </row>
    <row r="7">
      <c r="A7" s="10" t="s">
        <v>14</v>
      </c>
      <c r="B7" s="7">
        <v>5.0</v>
      </c>
      <c r="C7" s="7">
        <v>0.001</v>
      </c>
      <c r="D7" s="11">
        <f t="shared" si="1"/>
        <v>0.005</v>
      </c>
      <c r="F7" s="1" t="s">
        <v>15</v>
      </c>
      <c r="G7" s="2"/>
      <c r="H7" s="2"/>
      <c r="I7" s="3"/>
    </row>
    <row r="8">
      <c r="A8" s="10" t="s">
        <v>16</v>
      </c>
      <c r="B8" s="7">
        <v>5.0</v>
      </c>
      <c r="C8" s="7">
        <v>2.5</v>
      </c>
      <c r="D8" s="11">
        <f t="shared" si="1"/>
        <v>12.5</v>
      </c>
      <c r="F8" s="4" t="s">
        <v>6</v>
      </c>
      <c r="G8" s="7">
        <v>200.0</v>
      </c>
      <c r="H8" s="8"/>
      <c r="I8" s="9"/>
    </row>
    <row r="9">
      <c r="A9" s="10" t="s">
        <v>17</v>
      </c>
      <c r="B9" s="7">
        <v>5.0</v>
      </c>
      <c r="C9" s="7">
        <v>1.5</v>
      </c>
      <c r="D9" s="11">
        <f t="shared" si="1"/>
        <v>7.5</v>
      </c>
      <c r="F9" s="4" t="s">
        <v>8</v>
      </c>
      <c r="G9" s="7">
        <v>0.9</v>
      </c>
      <c r="H9" s="7">
        <v>0.85</v>
      </c>
      <c r="I9" s="11">
        <v>0.8</v>
      </c>
    </row>
    <row r="10">
      <c r="A10" s="10" t="s">
        <v>18</v>
      </c>
      <c r="B10" s="7">
        <v>5.0</v>
      </c>
      <c r="C10" s="7">
        <v>0.0</v>
      </c>
      <c r="D10" s="11">
        <f t="shared" si="1"/>
        <v>0</v>
      </c>
      <c r="F10" s="4" t="s">
        <v>10</v>
      </c>
      <c r="G10" s="12">
        <f>C27/G9</f>
        <v>97.47111111</v>
      </c>
      <c r="H10" s="12">
        <f>C27/H9</f>
        <v>103.2047059</v>
      </c>
      <c r="I10" s="12">
        <f>C27/I9</f>
        <v>109.655</v>
      </c>
    </row>
    <row r="11">
      <c r="A11" s="10" t="s">
        <v>19</v>
      </c>
      <c r="B11" s="7">
        <v>5.0</v>
      </c>
      <c r="C11" s="7">
        <v>0.5</v>
      </c>
      <c r="D11" s="11">
        <f t="shared" si="1"/>
        <v>2.5</v>
      </c>
      <c r="F11" s="14" t="s">
        <v>12</v>
      </c>
      <c r="G11" s="15">
        <f>G8/G10</f>
        <v>2.051890019</v>
      </c>
      <c r="H11" s="15">
        <f>G8/H10</f>
        <v>1.937896129</v>
      </c>
      <c r="I11" s="16">
        <f>G8/I10</f>
        <v>1.823902239</v>
      </c>
    </row>
    <row r="12">
      <c r="A12" s="10" t="s">
        <v>20</v>
      </c>
      <c r="B12" s="7">
        <v>5.0</v>
      </c>
      <c r="C12" s="7">
        <v>0.5</v>
      </c>
      <c r="D12" s="11">
        <f t="shared" si="1"/>
        <v>2.5</v>
      </c>
    </row>
    <row r="13">
      <c r="A13" s="10" t="s">
        <v>21</v>
      </c>
      <c r="B13" s="7">
        <v>5.0</v>
      </c>
      <c r="C13" s="7">
        <v>20.0</v>
      </c>
      <c r="D13" s="11">
        <f t="shared" si="1"/>
        <v>100</v>
      </c>
    </row>
    <row r="14">
      <c r="A14" s="10" t="s">
        <v>22</v>
      </c>
      <c r="B14" s="7">
        <v>5.0</v>
      </c>
      <c r="C14" s="7">
        <v>0.01</v>
      </c>
      <c r="D14" s="11">
        <f t="shared" si="1"/>
        <v>0.05</v>
      </c>
    </row>
    <row r="15">
      <c r="A15" s="10" t="s">
        <v>23</v>
      </c>
      <c r="B15" s="7">
        <v>5.0</v>
      </c>
      <c r="C15" s="7">
        <v>0.01</v>
      </c>
      <c r="D15" s="11">
        <f t="shared" si="1"/>
        <v>0.05</v>
      </c>
    </row>
    <row r="16">
      <c r="A16" s="10" t="s">
        <v>24</v>
      </c>
      <c r="B16" s="7">
        <v>5.0</v>
      </c>
      <c r="C16" s="7">
        <v>0.001</v>
      </c>
      <c r="D16" s="11">
        <f t="shared" si="1"/>
        <v>0.005</v>
      </c>
    </row>
    <row r="17">
      <c r="A17" s="10" t="s">
        <v>25</v>
      </c>
      <c r="B17" s="7">
        <v>5.0</v>
      </c>
      <c r="C17" s="7">
        <v>20.0</v>
      </c>
      <c r="D17" s="11">
        <f t="shared" si="1"/>
        <v>100</v>
      </c>
    </row>
    <row r="18">
      <c r="A18" s="10" t="s">
        <v>26</v>
      </c>
      <c r="B18" s="7">
        <v>5.0</v>
      </c>
      <c r="C18" s="7">
        <v>0.1</v>
      </c>
      <c r="D18" s="11">
        <f t="shared" si="1"/>
        <v>0.5</v>
      </c>
    </row>
    <row r="19">
      <c r="A19" s="10" t="s">
        <v>27</v>
      </c>
      <c r="B19" s="7">
        <v>5.0</v>
      </c>
      <c r="C19" s="7">
        <v>1.0</v>
      </c>
      <c r="D19" s="11">
        <f t="shared" si="1"/>
        <v>5</v>
      </c>
    </row>
    <row r="20">
      <c r="A20" s="10" t="s">
        <v>28</v>
      </c>
      <c r="B20" s="7">
        <v>5.0</v>
      </c>
      <c r="C20" s="7">
        <v>0.0</v>
      </c>
      <c r="D20" s="11">
        <f t="shared" si="1"/>
        <v>0</v>
      </c>
    </row>
    <row r="21">
      <c r="A21" s="10" t="s">
        <v>29</v>
      </c>
      <c r="B21" s="7">
        <v>5.0</v>
      </c>
      <c r="C21" s="7">
        <v>0.5</v>
      </c>
      <c r="D21" s="11">
        <f t="shared" si="1"/>
        <v>2.5</v>
      </c>
    </row>
    <row r="22">
      <c r="A22" s="10" t="s">
        <v>30</v>
      </c>
      <c r="B22" s="7">
        <v>5.0</v>
      </c>
      <c r="C22" s="7">
        <v>1.0</v>
      </c>
      <c r="D22" s="11">
        <f t="shared" si="1"/>
        <v>5</v>
      </c>
    </row>
    <row r="23">
      <c r="A23" s="10" t="s">
        <v>31</v>
      </c>
      <c r="B23" s="7">
        <v>5.0</v>
      </c>
      <c r="C23" s="7">
        <v>0.0</v>
      </c>
      <c r="D23" s="11">
        <f t="shared" si="1"/>
        <v>0</v>
      </c>
    </row>
    <row r="24">
      <c r="A24" s="10" t="s">
        <v>32</v>
      </c>
      <c r="B24" s="7">
        <v>5.0</v>
      </c>
      <c r="C24" s="7">
        <v>0.0</v>
      </c>
      <c r="D24" s="11">
        <f t="shared" si="1"/>
        <v>0</v>
      </c>
    </row>
    <row r="25">
      <c r="A25" s="10" t="s">
        <v>33</v>
      </c>
      <c r="B25" s="7">
        <v>5.0</v>
      </c>
      <c r="C25" s="7">
        <v>0.0</v>
      </c>
      <c r="D25" s="11">
        <f t="shared" si="1"/>
        <v>0</v>
      </c>
    </row>
    <row r="26">
      <c r="A26" s="10" t="s">
        <v>34</v>
      </c>
      <c r="B26" s="7">
        <v>5.0</v>
      </c>
      <c r="C26" s="7">
        <v>0.0</v>
      </c>
      <c r="D26" s="11">
        <f t="shared" si="1"/>
        <v>0</v>
      </c>
    </row>
    <row r="27">
      <c r="A27" s="17" t="s">
        <v>35</v>
      </c>
      <c r="B27" s="18"/>
      <c r="C27" s="19">
        <f t="shared" ref="C27:D27" si="2">SUM(C3:C26)</f>
        <v>87.724</v>
      </c>
      <c r="D27" s="20">
        <f t="shared" si="2"/>
        <v>438.62</v>
      </c>
    </row>
    <row r="29">
      <c r="F29" s="21" t="s">
        <v>36</v>
      </c>
    </row>
  </sheetData>
  <mergeCells count="3">
    <mergeCell ref="A1:D1"/>
    <mergeCell ref="F1:I1"/>
    <mergeCell ref="F7:I7"/>
  </mergeCells>
  <drawing r:id="rId1"/>
</worksheet>
</file>